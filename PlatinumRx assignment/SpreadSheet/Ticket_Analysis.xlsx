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245329e09a3636/Desktop/"/>
    </mc:Choice>
  </mc:AlternateContent>
  <xr:revisionPtr revIDLastSave="0" documentId="8_{850CE11B-16A0-4AE1-BCF8-DC2E899FD829}" xr6:coauthVersionLast="47" xr6:coauthVersionMax="47" xr10:uidLastSave="{00000000-0000-0000-0000-000000000000}"/>
  <bookViews>
    <workbookView xWindow="-108" yWindow="-108" windowWidth="23256" windowHeight="13176" activeTab="1" xr2:uid="{385DC047-C55C-414D-ABB1-70EED70F2378}"/>
  </bookViews>
  <sheets>
    <sheet name="Ticket" sheetId="1" r:id="rId1"/>
    <sheet name="pivot table" sheetId="4" r:id="rId2"/>
    <sheet name="Feedbacks" sheetId="2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F5" i="1"/>
  <c r="F6" i="1"/>
  <c r="F10" i="1" a="1"/>
  <c r="F10" i="1" s="1"/>
  <c r="G10" i="1"/>
  <c r="G10" i="1" a="1"/>
  <c r="I6" i="2"/>
  <c r="I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<sst xmlns="http://schemas.openxmlformats.org/spreadsheetml/2006/main" count="27" uniqueCount="22">
  <si>
    <t xml:space="preserve">ticket_id </t>
  </si>
  <si>
    <t>created_at</t>
  </si>
  <si>
    <t>closed_at</t>
  </si>
  <si>
    <t>outlet_id</t>
  </si>
  <si>
    <t>cms_id</t>
  </si>
  <si>
    <t>t1</t>
  </si>
  <si>
    <t>o1</t>
  </si>
  <si>
    <t>c1</t>
  </si>
  <si>
    <t>o2</t>
  </si>
  <si>
    <t>c2</t>
  </si>
  <si>
    <t>t2</t>
  </si>
  <si>
    <t>feedback_at</t>
  </si>
  <si>
    <t>feedback_rating</t>
  </si>
  <si>
    <t>ticket_created_at</t>
  </si>
  <si>
    <t>same_day</t>
  </si>
  <si>
    <t>same_hour</t>
  </si>
  <si>
    <t>Same_day_count</t>
  </si>
  <si>
    <t>Same_hour_count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</si>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</sst>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tr" refreshedDate="46120.735371296294" createdVersion="8" refreshedVersion="8" minRefreshableVersion="3" recordCount="2" xr:uid="{9DF90714-10AB-48D1-9045-431CFAEC083C}">
  <cacheSource type="worksheet">
    <worksheetSource name="Table1"/>
  </cacheSource>
  <cacheFields count="7">
    <cacheField name="ticket_id " numFmtId="0">
      <sharedItems/>
    </cacheField>
    <cacheField name="created_at" numFmtId="22">
      <sharedItems containsSemiMixedTypes="0" containsNonDate="0" containsDate="1" containsString="0" minDate="2021-08-19T16:45:43" maxDate="2021-08-21T11:09:22"/>
    </cacheField>
    <cacheField name="closed_at" numFmtId="22">
      <sharedItems containsSemiMixedTypes="0" containsNonDate="0" containsDate="1" containsString="0" minDate="2021-08-21T17:13:45" maxDate="2021-08-22T12:33:32"/>
    </cacheField>
    <cacheField name="outlet_id" numFmtId="0">
      <sharedItems count="2">
        <s v="o1"/>
        <s v="o2"/>
      </sharedItems>
    </cacheField>
    <cacheField name="cms_id" numFmtId="0">
      <sharedItems/>
    </cacheField>
    <cacheField name="same_day" numFmtId="0">
      <sharedItems containsSemiMixedTypes="0" containsString="0" containsNumber="1" containsInteger="1" minValue="0" maxValue="1"/>
    </cacheField>
    <cacheField name="same_hour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t1"/>
    <d v="2021-08-19T16:45:43"/>
    <d v="2021-08-22T12:33:32"/>
    <x v="0"/>
    <s v="c1"/>
    <n v="0"/>
    <n v="0"/>
  </r>
  <r>
    <s v="t2"/>
    <d v="2021-08-21T11:09:22"/>
    <d v="2021-08-21T17:13:45"/>
    <x v="1"/>
    <s v="c2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62C54-09B5-498C-9757-B5E3E78A68A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5" baseField="0" baseItem="0"/>
    <dataField name="Sum of same_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2682E-6319-4343-AB99-80092B283857}" name="Table1" displayName="Table1" ref="A4:G6" totalsRowShown="0">
  <autoFilter ref="A4:G6" xr:uid="{F6D2682E-6319-4343-AB99-80092B283857}"/>
  <tableColumns count="7">
    <tableColumn id="1" xr3:uid="{2E8EE4B6-8A4B-4792-91C2-4C1006528C4C}" name="ticket_id "/>
    <tableColumn id="2" xr3:uid="{9ED1C563-5BC5-4F95-9B4E-EADE91A931DC}" name="created_at"/>
    <tableColumn id="3" xr3:uid="{686D2B67-D972-4A44-972D-365E7BBB8B61}" name="closed_at"/>
    <tableColumn id="4" xr3:uid="{7A993D3E-11CD-49BA-BF9B-2AF8D5EC8A41}" name="outlet_id"/>
    <tableColumn id="5" xr3:uid="{DCA24438-6B45-43E0-901C-C92817752974}" name="cms_id"/>
    <tableColumn id="10" xr3:uid="{9F4C7D8B-B407-4DC9-8F69-B0CC3D2AAE0F}" name="same_day" dataDxfId="1">
      <calculatedColumnFormula>IF(INT(B5)=INT(C5), 1, 0)</calculatedColumnFormula>
    </tableColumn>
    <tableColumn id="11" xr3:uid="{AFB9A92E-AD59-4C1E-A87D-4E25D1600124}" name="same_hour" dataDxfId="0">
      <calculatedColumnFormula>IF(HOUR(B5)=HOUR(C5), 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A35A5-0D30-4E22-B2F1-0E9D3E07CF60}" name="Table2" displayName="Table2" ref="F5:I7" totalsRowShown="0">
  <autoFilter ref="F5:I7" xr:uid="{9D9A35A5-0D30-4E22-B2F1-0E9D3E07CF60}"/>
  <tableColumns count="4">
    <tableColumn id="1" xr3:uid="{C2B9A315-5F5B-4C11-9D6E-9B6A166A2FD4}" name="cms_id"/>
    <tableColumn id="2" xr3:uid="{203600EA-0FA5-4BD2-A967-3842CD2F0ADE}" name="feedback_at"/>
    <tableColumn id="3" xr3:uid="{FE1F0E99-5636-41E5-9E7F-1876EA1F8099}" name="feedback_rating"/>
    <tableColumn id="4" xr3:uid="{475C5C28-3369-4A4C-A016-44C7F121793B}" name="ticket_created_at" dataDxfId="2">
      <calculatedColumnFormula>INDEX(Ticket!B:B, MATCH(F6, Ticket!E:E,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066E-768D-4082-8AF6-850B0D355FC9}">
  <dimension ref="A4:G10"/>
  <sheetViews>
    <sheetView workbookViewId="0">
      <selection activeCell="A3" sqref="A3:G6"/>
    </sheetView>
  </sheetViews>
  <sheetFormatPr defaultRowHeight="14.4" x14ac:dyDescent="0.3"/>
  <cols>
    <col min="1" max="1" width="10.88671875" bestFit="1" customWidth="1"/>
    <col min="2" max="3" width="14.33203125" bestFit="1" customWidth="1"/>
    <col min="4" max="4" width="10.5546875" bestFit="1" customWidth="1"/>
    <col min="5" max="5" width="9.21875" bestFit="1" customWidth="1"/>
    <col min="6" max="6" width="14.5546875" bestFit="1" customWidth="1"/>
    <col min="7" max="7" width="15.44140625" bestFit="1" customWidth="1"/>
  </cols>
  <sheetData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14</v>
      </c>
      <c r="G4" t="s">
        <v>15</v>
      </c>
    </row>
    <row r="5" spans="1:7" x14ac:dyDescent="0.3">
      <c r="A5" t="s">
        <v>5</v>
      </c>
      <c r="B5" s="1">
        <v>44427.698414351849</v>
      </c>
      <c r="C5" s="1">
        <v>44430.523287037038</v>
      </c>
      <c r="D5" t="s">
        <v>6</v>
      </c>
      <c r="E5" t="s">
        <v>7</v>
      </c>
      <c r="F5">
        <f t="shared" ref="F5:F6" si="0">IF(INT(B5)=INT(C5), 1, 0)</f>
        <v>0</v>
      </c>
      <c r="G5">
        <f t="shared" ref="G5:G6" si="1">IF(HOUR(B5)=HOUR(C5), 1, 0)</f>
        <v>0</v>
      </c>
    </row>
    <row r="6" spans="1:7" x14ac:dyDescent="0.3">
      <c r="A6" t="s">
        <v>10</v>
      </c>
      <c r="B6" s="1">
        <v>44429.464837962965</v>
      </c>
      <c r="C6" s="1">
        <v>44429.717881944445</v>
      </c>
      <c r="D6" t="s">
        <v>8</v>
      </c>
      <c r="E6" t="s">
        <v>9</v>
      </c>
      <c r="F6">
        <f t="shared" si="0"/>
        <v>1</v>
      </c>
      <c r="G6">
        <f t="shared" si="1"/>
        <v>0</v>
      </c>
    </row>
    <row r="9" spans="1:7" x14ac:dyDescent="0.3">
      <c r="F9" t="s">
        <v>16</v>
      </c>
      <c r="G9" t="s">
        <v>17</v>
      </c>
    </row>
    <row r="10" spans="1:7" x14ac:dyDescent="0.3">
      <c r="F10" cm="1">
        <f t="array" ref="F10">SUMPRODUCT(--(F5:F6=TRUE))</f>
        <v>0</v>
      </c>
      <c r="G10" cm="1">
        <f t="array" ref="G10">SUMPRODUCT(--(H4:H5=TRUE))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075D-8DE3-4CF5-BCC4-D4AFB4B08237}">
  <dimension ref="A3:C6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16.109375" bestFit="1" customWidth="1"/>
  </cols>
  <sheetData>
    <row r="3" spans="1:3" x14ac:dyDescent="0.3">
      <c r="A3" s="3" t="s">
        <v>18</v>
      </c>
      <c r="B3" t="s">
        <v>20</v>
      </c>
      <c r="C3" t="s">
        <v>21</v>
      </c>
    </row>
    <row r="4" spans="1:3" x14ac:dyDescent="0.3">
      <c r="A4" s="4" t="s">
        <v>6</v>
      </c>
      <c r="B4" s="5">
        <v>0</v>
      </c>
      <c r="C4" s="5">
        <v>0</v>
      </c>
    </row>
    <row r="5" spans="1:3" x14ac:dyDescent="0.3">
      <c r="A5" s="4" t="s">
        <v>8</v>
      </c>
      <c r="B5" s="5">
        <v>1</v>
      </c>
      <c r="C5" s="5">
        <v>0</v>
      </c>
    </row>
    <row r="6" spans="1:3" x14ac:dyDescent="0.3">
      <c r="A6" s="4" t="s">
        <v>19</v>
      </c>
      <c r="B6" s="5">
        <v>1</v>
      </c>
      <c r="C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52B2-CADD-4A12-9FAB-796E128FF443}">
  <dimension ref="F5:I7"/>
  <sheetViews>
    <sheetView workbookViewId="0">
      <selection activeCell="K7" sqref="K7"/>
    </sheetView>
  </sheetViews>
  <sheetFormatPr defaultRowHeight="14.4" x14ac:dyDescent="0.3"/>
  <cols>
    <col min="6" max="6" width="9.21875" bestFit="1" customWidth="1"/>
    <col min="7" max="7" width="14.33203125" bestFit="1" customWidth="1"/>
    <col min="8" max="8" width="16.6640625" bestFit="1" customWidth="1"/>
    <col min="9" max="9" width="17.88671875" bestFit="1" customWidth="1"/>
  </cols>
  <sheetData>
    <row r="5" spans="6:9" x14ac:dyDescent="0.3">
      <c r="F5" t="s">
        <v>4</v>
      </c>
      <c r="G5" t="s">
        <v>11</v>
      </c>
      <c r="H5" t="s">
        <v>12</v>
      </c>
      <c r="I5" t="s">
        <v>13</v>
      </c>
    </row>
    <row r="6" spans="6:9" x14ac:dyDescent="0.3">
      <c r="F6" t="s">
        <v>7</v>
      </c>
      <c r="G6" s="1">
        <v>44429.560277777775</v>
      </c>
      <c r="H6">
        <v>3</v>
      </c>
      <c r="I6" s="2">
        <f>INDEX(Ticket!B:B, MATCH(F6, Ticket!E:E, 0))</f>
        <v>44427.698414351849</v>
      </c>
    </row>
    <row r="7" spans="6:9" x14ac:dyDescent="0.3">
      <c r="F7" t="s">
        <v>9</v>
      </c>
      <c r="G7" s="1">
        <v>44429.75</v>
      </c>
      <c r="H7">
        <v>4</v>
      </c>
      <c r="I7" s="2">
        <f>INDEX(Ticket!B:B, MATCH(F7, Ticket!E:E, 0))</f>
        <v>44429.464837962965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pivot table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tr</dc:creator>
  <cp:lastModifiedBy>kiran tr</cp:lastModifiedBy>
  <dcterms:created xsi:type="dcterms:W3CDTF">2026-04-08T11:11:36Z</dcterms:created>
  <dcterms:modified xsi:type="dcterms:W3CDTF">2026-04-08T12:14:49Z</dcterms:modified>
</cp:coreProperties>
</file>